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6ECDB93-2351-4D11-91A2-BC836280D682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T-Test Analysi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F8" i="1"/>
  <c r="G7" i="1"/>
  <c r="F7" i="1"/>
  <c r="G6" i="1"/>
  <c r="F6" i="1"/>
  <c r="F12" i="1" l="1"/>
  <c r="F13" i="1" s="1"/>
  <c r="F14" i="1" s="1"/>
  <c r="F11" i="1"/>
  <c r="F15" i="1" l="1"/>
  <c r="F17" i="1" s="1"/>
</calcChain>
</file>

<file path=xl/sharedStrings.xml><?xml version="1.0" encoding="utf-8"?>
<sst xmlns="http://schemas.openxmlformats.org/spreadsheetml/2006/main" count="22" uniqueCount="20">
  <si>
    <t>Independent Samples T-Test: Bakery Sales (Windows Open vs. Closed)</t>
  </si>
  <si>
    <t>Magno's Bakery — Dumaguete | Significance level (α) = 0.05</t>
  </si>
  <si>
    <t>Day</t>
  </si>
  <si>
    <t>Windows Open</t>
  </si>
  <si>
    <t>Windows Closed</t>
  </si>
  <si>
    <t>Descriptive Statistics</t>
  </si>
  <si>
    <t>Statistic</t>
  </si>
  <si>
    <t>Sample Size (n)</t>
  </si>
  <si>
    <t>Sample Mean</t>
  </si>
  <si>
    <t>Sample Std. Dev. (s)</t>
  </si>
  <si>
    <t>Independent Samples T-Test (Equal Variances Assumed)</t>
  </si>
  <si>
    <t>Degrees of Freedom (df)</t>
  </si>
  <si>
    <t>Pooled Variance (Sp²)</t>
  </si>
  <si>
    <t>Standard Error (SE)</t>
  </si>
  <si>
    <t>t statistic</t>
  </si>
  <si>
    <t>p-value (two-tailed)</t>
  </si>
  <si>
    <t>Significance Level (α)</t>
  </si>
  <si>
    <t>Decision</t>
  </si>
  <si>
    <r>
      <rPr>
        <b/>
        <sz val="9"/>
        <rFont val="Arial"/>
        <family val="2"/>
      </rPr>
      <t>1. Hypotheses</t>
    </r>
    <r>
      <rPr>
        <sz val="9"/>
        <rFont val="Arial"/>
        <family val="2"/>
      </rPr>
      <t xml:space="preserve">
Null (H₀): Average daily sales are the same whether the windows are open or closed (μ₁ = μ₂).
Alternative (H₁): Average daily sales are different when the windows are open compared to closed (μ₁ ≠ μ₂).</t>
    </r>
  </si>
  <si>
    <r>
      <rPr>
        <b/>
        <i/>
        <sz val="10"/>
        <rFont val="Arial"/>
        <family val="2"/>
      </rPr>
      <t>Interpretation:</t>
    </r>
    <r>
      <rPr>
        <i/>
        <sz val="10"/>
        <rFont val="Arial"/>
        <family val="2"/>
      </rPr>
      <t xml:space="preserve"> Since the p-value is compared against α = 0.05, if p &lt; α we conclude there is a statistically significant difference between mean sales when windows are open versus closed. If p ≥ α, we fail to reject the null hypothesis — meaning any observed difference in sales could plausibly be due to random variation rather than the smell of fresh baking.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</si>
</sst>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9" x14ac:knownFonts="1">
    <font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/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medium">
        <color indexed="64"/>
      </bottom>
      <diagonal/>
    </border>
    <border>
      <left/>
      <right style="medium">
        <color indexed="64"/>
      </right>
      <top style="thin">
        <color rgb="FFB7B7B7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4" fontId="1" fillId="0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1" fontId="1" fillId="0" borderId="2" xfId="0" applyNumberFormat="1" applyFont="1" applyFill="1" applyBorder="1"/>
    <xf numFmtId="4" fontId="1" fillId="0" borderId="2" xfId="0" applyNumberFormat="1" applyFont="1" applyFill="1" applyBorder="1"/>
    <xf numFmtId="164" fontId="1" fillId="0" borderId="2" xfId="0" applyNumberFormat="1" applyFont="1" applyFill="1" applyBorder="1"/>
    <xf numFmtId="164" fontId="2" fillId="0" borderId="2" xfId="0" applyNumberFormat="1" applyFont="1" applyFill="1" applyBorder="1"/>
    <xf numFmtId="165" fontId="2" fillId="0" borderId="2" xfId="0" applyNumberFormat="1" applyFont="1" applyFill="1" applyBorder="1"/>
    <xf numFmtId="0" fontId="3" fillId="0" borderId="0" xfId="0" applyFont="1" applyFill="1" applyBorder="1"/>
    <xf numFmtId="0" fontId="4" fillId="0" borderId="0" xfId="0" applyFont="1" applyFill="1"/>
    <xf numFmtId="0" fontId="5" fillId="0" borderId="0" xfId="0" applyFont="1" applyFill="1" applyBorder="1"/>
    <xf numFmtId="2" fontId="1" fillId="0" borderId="2" xfId="0" applyNumberFormat="1" applyFont="1" applyFill="1" applyBorder="1"/>
    <xf numFmtId="0" fontId="5" fillId="0" borderId="0" xfId="0" applyFont="1" applyFill="1" applyBorder="1" applyAlignment="1">
      <alignment horizontal="center" vertical="top" wrapText="1"/>
    </xf>
    <xf numFmtId="0" fontId="1" fillId="0" borderId="0" xfId="0" applyFont="1" applyFill="1"/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1" fillId="0" borderId="14" xfId="0" applyFont="1" applyFill="1" applyBorder="1"/>
    <xf numFmtId="1" fontId="1" fillId="0" borderId="15" xfId="0" applyNumberFormat="1" applyFont="1" applyFill="1" applyBorder="1" applyAlignment="1">
      <alignment horizontal="center"/>
    </xf>
    <xf numFmtId="4" fontId="1" fillId="0" borderId="15" xfId="0" applyNumberFormat="1" applyFont="1" applyFill="1" applyBorder="1" applyAlignment="1">
      <alignment horizontal="center"/>
    </xf>
    <xf numFmtId="0" fontId="1" fillId="0" borderId="16" xfId="0" applyFont="1" applyFill="1" applyBorder="1"/>
    <xf numFmtId="4" fontId="1" fillId="0" borderId="17" xfId="0" applyNumberFormat="1" applyFont="1" applyFill="1" applyBorder="1" applyAlignment="1">
      <alignment horizontal="center"/>
    </xf>
    <xf numFmtId="4" fontId="1" fillId="0" borderId="18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" fontId="1" fillId="0" borderId="15" xfId="0" applyNumberFormat="1" applyFont="1" applyFill="1" applyBorder="1"/>
    <xf numFmtId="4" fontId="1" fillId="0" borderId="15" xfId="0" applyNumberFormat="1" applyFont="1" applyFill="1" applyBorder="1"/>
    <xf numFmtId="164" fontId="1" fillId="0" borderId="15" xfId="0" applyNumberFormat="1" applyFont="1" applyFill="1" applyBorder="1"/>
    <xf numFmtId="0" fontId="2" fillId="0" borderId="14" xfId="0" applyFont="1" applyFill="1" applyBorder="1"/>
    <xf numFmtId="164" fontId="2" fillId="0" borderId="15" xfId="0" applyNumberFormat="1" applyFont="1" applyFill="1" applyBorder="1"/>
    <xf numFmtId="165" fontId="2" fillId="0" borderId="19" xfId="0" applyNumberFormat="1" applyFont="1" applyFill="1" applyBorder="1"/>
    <xf numFmtId="2" fontId="1" fillId="0" borderId="19" xfId="0" applyNumberFormat="1" applyFont="1" applyFill="1" applyBorder="1"/>
    <xf numFmtId="0" fontId="2" fillId="0" borderId="16" xfId="0" applyFont="1" applyFill="1" applyBorder="1"/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Normal="100" workbookViewId="0">
      <selection activeCell="L17" sqref="L17"/>
    </sheetView>
  </sheetViews>
  <sheetFormatPr defaultColWidth="8.7109375" defaultRowHeight="15" x14ac:dyDescent="0.25"/>
  <cols>
    <col min="1" max="1" width="8" customWidth="1"/>
    <col min="2" max="2" width="16" customWidth="1"/>
    <col min="3" max="3" width="75" customWidth="1"/>
    <col min="4" max="4" width="4" customWidth="1"/>
    <col min="5" max="5" width="30" customWidth="1"/>
    <col min="6" max="6" width="18" customWidth="1"/>
    <col min="7" max="7" width="20.42578125" customWidth="1"/>
  </cols>
  <sheetData>
    <row r="1" spans="1:9" ht="18" x14ac:dyDescent="0.25">
      <c r="A1" s="8" t="s">
        <v>0</v>
      </c>
      <c r="B1" s="8"/>
      <c r="C1" s="8"/>
      <c r="D1" s="13"/>
      <c r="E1" s="13"/>
      <c r="F1" s="13"/>
      <c r="G1" s="13"/>
      <c r="H1" s="13"/>
      <c r="I1" s="13"/>
    </row>
    <row r="2" spans="1:9" x14ac:dyDescent="0.25">
      <c r="A2" s="10" t="s">
        <v>1</v>
      </c>
      <c r="B2" s="10"/>
      <c r="C2" s="10"/>
      <c r="D2" s="13"/>
      <c r="E2" s="13"/>
      <c r="F2" s="13"/>
      <c r="G2" s="13"/>
      <c r="H2" s="13"/>
      <c r="I2" s="13"/>
    </row>
    <row r="3" spans="1:9" ht="15.75" thickBot="1" x14ac:dyDescent="0.3">
      <c r="A3" s="13"/>
      <c r="B3" s="13"/>
      <c r="C3" s="13"/>
      <c r="D3" s="13"/>
      <c r="E3" s="13"/>
      <c r="F3" s="13"/>
      <c r="G3" s="13"/>
      <c r="H3" s="13"/>
      <c r="I3" s="13"/>
    </row>
    <row r="4" spans="1:9" ht="15.75" thickBot="1" x14ac:dyDescent="0.3">
      <c r="A4" s="31" t="s">
        <v>2</v>
      </c>
      <c r="B4" s="32" t="s">
        <v>3</v>
      </c>
      <c r="C4" s="33" t="s">
        <v>4</v>
      </c>
      <c r="D4" s="13"/>
      <c r="E4" s="53" t="s">
        <v>5</v>
      </c>
      <c r="F4" s="54"/>
      <c r="G4" s="13"/>
      <c r="H4" s="13"/>
      <c r="I4" s="13"/>
    </row>
    <row r="5" spans="1:9" x14ac:dyDescent="0.25">
      <c r="A5" s="55">
        <v>1</v>
      </c>
      <c r="B5" s="1">
        <v>1505.25</v>
      </c>
      <c r="C5" s="36">
        <v>1450</v>
      </c>
      <c r="D5" s="13"/>
      <c r="E5" s="31" t="s">
        <v>6</v>
      </c>
      <c r="F5" s="32" t="s">
        <v>3</v>
      </c>
      <c r="G5" s="33" t="s">
        <v>4</v>
      </c>
      <c r="H5" s="13"/>
      <c r="I5" s="13"/>
    </row>
    <row r="6" spans="1:9" x14ac:dyDescent="0.25">
      <c r="A6" s="55">
        <v>2</v>
      </c>
      <c r="B6" s="1">
        <v>1460</v>
      </c>
      <c r="C6" s="36">
        <v>1570.5</v>
      </c>
      <c r="D6" s="13"/>
      <c r="E6" s="34" t="s">
        <v>7</v>
      </c>
      <c r="F6" s="2">
        <f>COUNT(B5:B34)</f>
        <v>30</v>
      </c>
      <c r="G6" s="35">
        <f>COUNT(C5:C34)</f>
        <v>30</v>
      </c>
      <c r="H6" s="13"/>
      <c r="I6" s="13"/>
    </row>
    <row r="7" spans="1:9" x14ac:dyDescent="0.25">
      <c r="A7" s="55">
        <v>3</v>
      </c>
      <c r="B7" s="1">
        <v>1200</v>
      </c>
      <c r="C7" s="36">
        <v>1090.25</v>
      </c>
      <c r="D7" s="13"/>
      <c r="E7" s="34" t="s">
        <v>8</v>
      </c>
      <c r="F7" s="1">
        <f>AVERAGE(B5:B34)</f>
        <v>1618.95</v>
      </c>
      <c r="G7" s="36">
        <f>AVERAGE(C5:C34)</f>
        <v>1545.0083333333334</v>
      </c>
      <c r="H7" s="13"/>
      <c r="I7" s="13"/>
    </row>
    <row r="8" spans="1:9" ht="15.75" thickBot="1" x14ac:dyDescent="0.3">
      <c r="A8" s="55">
        <v>4</v>
      </c>
      <c r="B8" s="1">
        <v>1738.5</v>
      </c>
      <c r="C8" s="36">
        <v>1567.5</v>
      </c>
      <c r="D8" s="13"/>
      <c r="E8" s="37" t="s">
        <v>9</v>
      </c>
      <c r="F8" s="38">
        <f>STDEV(B5:B34)</f>
        <v>253.85736559919906</v>
      </c>
      <c r="G8" s="39">
        <f>STDEV(C5:C34)</f>
        <v>227.9490782077155</v>
      </c>
      <c r="H8" s="13"/>
      <c r="I8" s="13"/>
    </row>
    <row r="9" spans="1:9" ht="15.75" thickBot="1" x14ac:dyDescent="0.3">
      <c r="A9" s="55">
        <v>5</v>
      </c>
      <c r="B9" s="1">
        <v>1935.75</v>
      </c>
      <c r="C9" s="36">
        <v>1860</v>
      </c>
      <c r="D9" s="13"/>
      <c r="E9" s="13"/>
      <c r="F9" s="13"/>
      <c r="G9" s="13"/>
      <c r="H9" s="13"/>
      <c r="I9" s="13"/>
    </row>
    <row r="10" spans="1:9" x14ac:dyDescent="0.25">
      <c r="A10" s="55">
        <v>6</v>
      </c>
      <c r="B10" s="1">
        <v>1050</v>
      </c>
      <c r="C10" s="36">
        <v>1100.25</v>
      </c>
      <c r="D10" s="13"/>
      <c r="E10" s="40" t="s">
        <v>10</v>
      </c>
      <c r="F10" s="41"/>
      <c r="G10" s="42"/>
      <c r="H10" s="13"/>
      <c r="I10" s="13"/>
    </row>
    <row r="11" spans="1:9" x14ac:dyDescent="0.25">
      <c r="A11" s="55">
        <v>7</v>
      </c>
      <c r="B11" s="1">
        <v>1978</v>
      </c>
      <c r="C11" s="36">
        <v>1670.25</v>
      </c>
      <c r="D11" s="13"/>
      <c r="E11" s="34" t="s">
        <v>11</v>
      </c>
      <c r="F11" s="3">
        <f>F6+G6-2</f>
        <v>58</v>
      </c>
      <c r="G11" s="43"/>
      <c r="H11" s="13"/>
      <c r="I11" s="13"/>
    </row>
    <row r="12" spans="1:9" x14ac:dyDescent="0.25">
      <c r="A12" s="55">
        <v>8</v>
      </c>
      <c r="B12" s="1">
        <v>1470</v>
      </c>
      <c r="C12" s="36">
        <v>1560.75</v>
      </c>
      <c r="D12" s="13"/>
      <c r="E12" s="34" t="s">
        <v>12</v>
      </c>
      <c r="F12" s="4">
        <f>((F6-1)*F8^2+(G6-1)*G8^2)/(F6+G6-2)</f>
        <v>58202.172162356306</v>
      </c>
      <c r="G12" s="44"/>
      <c r="H12" s="13"/>
      <c r="I12" s="13"/>
    </row>
    <row r="13" spans="1:9" x14ac:dyDescent="0.25">
      <c r="A13" s="55">
        <v>9</v>
      </c>
      <c r="B13" s="1">
        <v>1500</v>
      </c>
      <c r="C13" s="36">
        <v>1465</v>
      </c>
      <c r="D13" s="13"/>
      <c r="E13" s="34" t="s">
        <v>13</v>
      </c>
      <c r="F13" s="5">
        <f>SQRT(F12*(1/F6+1/G6))</f>
        <v>62.290808397577841</v>
      </c>
      <c r="G13" s="45"/>
      <c r="H13" s="13"/>
      <c r="I13" s="13"/>
    </row>
    <row r="14" spans="1:9" x14ac:dyDescent="0.25">
      <c r="A14" s="55">
        <v>10</v>
      </c>
      <c r="B14" s="1">
        <v>1720.5</v>
      </c>
      <c r="C14" s="36">
        <v>1560</v>
      </c>
      <c r="D14" s="13"/>
      <c r="E14" s="46" t="s">
        <v>14</v>
      </c>
      <c r="F14" s="6">
        <f>(F7-G7)/F13</f>
        <v>1.1870397666815609</v>
      </c>
      <c r="G14" s="47"/>
      <c r="H14" s="13"/>
      <c r="I14" s="13"/>
    </row>
    <row r="15" spans="1:9" x14ac:dyDescent="0.25">
      <c r="A15" s="55">
        <v>11</v>
      </c>
      <c r="B15" s="1">
        <v>1990</v>
      </c>
      <c r="C15" s="36">
        <v>1870.25</v>
      </c>
      <c r="D15" s="13"/>
      <c r="E15" s="46" t="s">
        <v>15</v>
      </c>
      <c r="F15" s="7">
        <f>TDIST(ABS(F14),F11,2)</f>
        <v>0.24005108872857245</v>
      </c>
      <c r="G15" s="48"/>
      <c r="H15" s="13"/>
      <c r="I15" s="13"/>
    </row>
    <row r="16" spans="1:9" x14ac:dyDescent="0.25">
      <c r="A16" s="55">
        <v>12</v>
      </c>
      <c r="B16" s="1">
        <v>2009.5</v>
      </c>
      <c r="C16" s="36">
        <v>1880</v>
      </c>
      <c r="D16" s="13"/>
      <c r="E16" s="34" t="s">
        <v>16</v>
      </c>
      <c r="F16" s="11">
        <v>0.05</v>
      </c>
      <c r="G16" s="49"/>
      <c r="H16" s="13"/>
      <c r="I16" s="13"/>
    </row>
    <row r="17" spans="1:9" ht="15.75" thickBot="1" x14ac:dyDescent="0.3">
      <c r="A17" s="55">
        <v>13</v>
      </c>
      <c r="B17" s="1">
        <v>1700</v>
      </c>
      <c r="C17" s="36">
        <v>1890.25</v>
      </c>
      <c r="D17" s="13"/>
      <c r="E17" s="50" t="s">
        <v>17</v>
      </c>
      <c r="F17" s="51" t="str">
        <f>IF(F15&lt;F16,"Reject the Null Hypothesis","Fail to Reject the Null Hypothesis")</f>
        <v>Fail to Reject the Null Hypothesis</v>
      </c>
      <c r="G17" s="52"/>
      <c r="H17" s="13"/>
      <c r="I17" s="13"/>
    </row>
    <row r="18" spans="1:9" ht="15.75" thickBot="1" x14ac:dyDescent="0.3">
      <c r="A18" s="55">
        <v>14</v>
      </c>
      <c r="B18" s="1">
        <v>1478</v>
      </c>
      <c r="C18" s="36">
        <v>1260.5</v>
      </c>
      <c r="D18" s="13"/>
      <c r="E18" s="13"/>
      <c r="F18" s="13"/>
      <c r="G18" s="13"/>
      <c r="H18" s="13"/>
      <c r="I18" s="13"/>
    </row>
    <row r="19" spans="1:9" ht="15" customHeight="1" x14ac:dyDescent="0.25">
      <c r="A19" s="55">
        <v>15</v>
      </c>
      <c r="B19" s="1">
        <v>1635.5</v>
      </c>
      <c r="C19" s="36">
        <v>1750</v>
      </c>
      <c r="D19" s="13"/>
      <c r="E19" s="14" t="s">
        <v>19</v>
      </c>
      <c r="F19" s="15"/>
      <c r="G19" s="15"/>
      <c r="H19" s="15"/>
      <c r="I19" s="16"/>
    </row>
    <row r="20" spans="1:9" x14ac:dyDescent="0.25">
      <c r="A20" s="55">
        <v>16</v>
      </c>
      <c r="B20" s="1">
        <v>1354.25</v>
      </c>
      <c r="C20" s="36">
        <v>1250.25</v>
      </c>
      <c r="D20" s="13"/>
      <c r="E20" s="17"/>
      <c r="F20" s="12"/>
      <c r="G20" s="12"/>
      <c r="H20" s="12"/>
      <c r="I20" s="18"/>
    </row>
    <row r="21" spans="1:9" x14ac:dyDescent="0.25">
      <c r="A21" s="55">
        <v>17</v>
      </c>
      <c r="B21" s="1">
        <v>1790.5</v>
      </c>
      <c r="C21" s="36">
        <v>1450.5</v>
      </c>
      <c r="D21" s="13"/>
      <c r="E21" s="17"/>
      <c r="F21" s="12"/>
      <c r="G21" s="12"/>
      <c r="H21" s="12"/>
      <c r="I21" s="18"/>
    </row>
    <row r="22" spans="1:9" ht="15.75" thickBot="1" x14ac:dyDescent="0.3">
      <c r="A22" s="55">
        <v>18</v>
      </c>
      <c r="B22" s="1">
        <v>1360.25</v>
      </c>
      <c r="C22" s="36">
        <v>1180.75</v>
      </c>
      <c r="D22" s="13"/>
      <c r="E22" s="19"/>
      <c r="F22" s="20"/>
      <c r="G22" s="20"/>
      <c r="H22" s="20"/>
      <c r="I22" s="21"/>
    </row>
    <row r="23" spans="1:9" ht="15" customHeight="1" x14ac:dyDescent="0.25">
      <c r="A23" s="55">
        <v>19</v>
      </c>
      <c r="B23" s="1">
        <v>1470</v>
      </c>
      <c r="C23" s="36">
        <v>1505</v>
      </c>
      <c r="D23" s="13"/>
      <c r="E23" s="13"/>
      <c r="F23" s="13"/>
      <c r="G23" s="13"/>
      <c r="H23" s="13"/>
      <c r="I23" s="13"/>
    </row>
    <row r="24" spans="1:9" ht="15.75" thickBot="1" x14ac:dyDescent="0.3">
      <c r="A24" s="55">
        <v>20</v>
      </c>
      <c r="B24" s="1">
        <v>1890.75</v>
      </c>
      <c r="C24" s="36">
        <v>1690.5</v>
      </c>
      <c r="D24" s="13"/>
      <c r="E24" s="13"/>
      <c r="F24" s="13"/>
      <c r="G24" s="13"/>
      <c r="H24" s="13"/>
      <c r="I24" s="13"/>
    </row>
    <row r="25" spans="1:9" x14ac:dyDescent="0.25">
      <c r="A25" s="55">
        <v>21</v>
      </c>
      <c r="B25" s="1">
        <v>1270</v>
      </c>
      <c r="C25" s="36">
        <v>1350</v>
      </c>
      <c r="D25" s="13"/>
      <c r="E25" s="22" t="s">
        <v>18</v>
      </c>
      <c r="F25" s="23"/>
      <c r="G25" s="23"/>
      <c r="H25" s="23"/>
      <c r="I25" s="24"/>
    </row>
    <row r="26" spans="1:9" x14ac:dyDescent="0.25">
      <c r="A26" s="55">
        <v>22</v>
      </c>
      <c r="B26" s="1">
        <v>1970</v>
      </c>
      <c r="C26" s="36">
        <v>1720.5</v>
      </c>
      <c r="D26" s="13"/>
      <c r="E26" s="25"/>
      <c r="F26" s="26"/>
      <c r="G26" s="26"/>
      <c r="H26" s="26"/>
      <c r="I26" s="27"/>
    </row>
    <row r="27" spans="1:9" x14ac:dyDescent="0.25">
      <c r="A27" s="55">
        <v>23</v>
      </c>
      <c r="B27" s="1">
        <v>1780.25</v>
      </c>
      <c r="C27" s="36">
        <v>1550.75</v>
      </c>
      <c r="D27" s="13"/>
      <c r="E27" s="25"/>
      <c r="F27" s="26"/>
      <c r="G27" s="26"/>
      <c r="H27" s="26"/>
      <c r="I27" s="27"/>
    </row>
    <row r="28" spans="1:9" ht="15.75" thickBot="1" x14ac:dyDescent="0.3">
      <c r="A28" s="55">
        <v>24</v>
      </c>
      <c r="B28" s="1">
        <v>1450.5</v>
      </c>
      <c r="C28" s="36">
        <v>1450.5</v>
      </c>
      <c r="D28" s="13"/>
      <c r="E28" s="28"/>
      <c r="F28" s="29"/>
      <c r="G28" s="29"/>
      <c r="H28" s="29"/>
      <c r="I28" s="30"/>
    </row>
    <row r="29" spans="1:9" x14ac:dyDescent="0.25">
      <c r="A29" s="55">
        <v>25</v>
      </c>
      <c r="B29" s="1">
        <v>1600</v>
      </c>
      <c r="C29" s="36">
        <v>1670</v>
      </c>
      <c r="D29" s="13"/>
      <c r="E29" s="13"/>
      <c r="F29" s="13"/>
      <c r="G29" s="13"/>
      <c r="H29" s="13"/>
      <c r="I29" s="13"/>
    </row>
    <row r="30" spans="1:9" x14ac:dyDescent="0.25">
      <c r="A30" s="55">
        <v>26</v>
      </c>
      <c r="B30" s="1">
        <v>1720</v>
      </c>
      <c r="C30" s="36">
        <v>1660.25</v>
      </c>
      <c r="D30" s="13"/>
      <c r="E30" s="13"/>
      <c r="F30" s="13"/>
      <c r="G30" s="13"/>
      <c r="H30" s="13"/>
      <c r="I30" s="13"/>
    </row>
    <row r="31" spans="1:9" x14ac:dyDescent="0.25">
      <c r="A31" s="55">
        <v>27</v>
      </c>
      <c r="B31" s="1">
        <v>1600.5</v>
      </c>
      <c r="C31" s="36">
        <v>1435.5</v>
      </c>
      <c r="D31" s="13"/>
      <c r="E31" s="13"/>
      <c r="F31" s="13"/>
      <c r="G31" s="13"/>
      <c r="H31" s="13"/>
      <c r="I31" s="13"/>
    </row>
    <row r="32" spans="1:9" x14ac:dyDescent="0.25">
      <c r="A32" s="55">
        <v>28</v>
      </c>
      <c r="B32" s="1">
        <v>1570.5</v>
      </c>
      <c r="C32" s="36">
        <v>1750.25</v>
      </c>
      <c r="D32" s="13"/>
      <c r="E32" s="13"/>
      <c r="F32" s="13"/>
      <c r="G32" s="13"/>
      <c r="H32" s="13"/>
      <c r="I32" s="13"/>
    </row>
    <row r="33" spans="1:9" x14ac:dyDescent="0.25">
      <c r="A33" s="55">
        <v>29</v>
      </c>
      <c r="B33" s="1">
        <v>1950</v>
      </c>
      <c r="C33" s="36">
        <v>1790</v>
      </c>
      <c r="D33" s="13"/>
      <c r="E33" s="13"/>
      <c r="F33" s="13"/>
      <c r="G33" s="13"/>
      <c r="H33" s="13"/>
      <c r="I33" s="13"/>
    </row>
    <row r="34" spans="1:9" ht="15.75" thickBot="1" x14ac:dyDescent="0.3">
      <c r="A34" s="56">
        <v>30</v>
      </c>
      <c r="B34" s="38">
        <v>1420</v>
      </c>
      <c r="C34" s="39">
        <v>1350</v>
      </c>
      <c r="D34" s="13"/>
      <c r="E34" s="13"/>
      <c r="F34" s="13"/>
      <c r="G34" s="13"/>
      <c r="H34" s="13"/>
      <c r="I34" s="13"/>
    </row>
    <row r="35" spans="1:9" x14ac:dyDescent="0.25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9"/>
      <c r="B36" s="9"/>
      <c r="C36" s="9"/>
      <c r="D36" s="9"/>
      <c r="E36" s="9"/>
      <c r="F36" s="9"/>
      <c r="G36" s="9"/>
      <c r="H36" s="9"/>
      <c r="I36" s="9"/>
    </row>
    <row r="37" spans="1:9" x14ac:dyDescent="0.25">
      <c r="A37" s="9"/>
      <c r="B37" s="9"/>
      <c r="C37" s="9"/>
      <c r="D37" s="9"/>
      <c r="E37" s="9"/>
      <c r="F37" s="9"/>
      <c r="G37" s="9"/>
      <c r="H37" s="9"/>
      <c r="I37" s="9"/>
    </row>
  </sheetData>
  <mergeCells count="13">
    <mergeCell ref="F15:G15"/>
    <mergeCell ref="E25:I28"/>
    <mergeCell ref="F17:G17"/>
    <mergeCell ref="E19:I22"/>
    <mergeCell ref="F16:G16"/>
    <mergeCell ref="F12:G12"/>
    <mergeCell ref="F13:G13"/>
    <mergeCell ref="F14:G14"/>
    <mergeCell ref="A1:C1"/>
    <mergeCell ref="A2:C2"/>
    <mergeCell ref="E4:F4"/>
    <mergeCell ref="E10:G10"/>
    <mergeCell ref="F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T-Test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2026-08-02T01:30:50Z</dcterms:created>
  <dcterms:modified xsi:type="dcterms:W3CDTF">2026-08-02T01:38:51Z</dcterms:modified>
  <dc:language>en-US</dc:language>
</cp:coreProperties>
</file>